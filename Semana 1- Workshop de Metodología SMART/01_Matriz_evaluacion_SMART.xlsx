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5a8448701c4347" /></Relationships>
</file>

<file path=xl/workbook.xml><?xml version="1.0" encoding="utf-8"?>
<x:workbook xmlns:x="http://schemas.openxmlformats.org/spreadsheetml/2006/main">
  <x:sheets>
    <x:sheet xmlns:r="http://schemas.openxmlformats.org/officeDocument/2006/relationships" name="Matriz" sheetId="1" r:id="R1817e73cd2634d13"/>
    <x:sheet xmlns:r="http://schemas.openxmlformats.org/officeDocument/2006/relationships" name="Justificaciones" sheetId="2" r:id="R15df31aba6724a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5">
    <x:font>
      <x:sz val="11"/>
      <x:name val="Carlito"/>
    </x:font>
    <x:font>
      <x:sz val="11"/>
      <x:name val="Arial"/>
    </x:font>
    <x:font>
      <x:b/>
      <x:sz val="16"/>
      <x:name val="Arial"/>
    </x:font>
    <x:font>
      <x:b/>
      <x:sz val="11"/>
      <x:color rgb="FFFFFFFF"/>
      <x:name val="Arial"/>
    </x:font>
    <x:font>
      <x:b/>
      <x:sz val="11"/>
      <x:name val="Arial"/>
    </x:font>
  </x:fonts>
  <x:fills count="5">
    <x:fill>
      <x:patternFill patternType="none"/>
    </x:fill>
    <x:fill>
      <x:patternFill patternType="gray125"/>
    </x:fill>
    <x:fill>
      <x:patternFill patternType="solid">
        <x:fgColor rgb="FF243746"/>
      </x:patternFill>
    </x:fill>
    <x:fill>
      <x:patternFill patternType="solid">
        <x:fgColor rgb="FFE5EDF3"/>
      </x:patternFill>
    </x:fill>
    <x:fill>
      <x:patternFill patternType="solid">
        <x:fgColor rgb="FFFFF1CC"/>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201" fontId="4" fillId="3" borderId="0" xfId="0" applyNumberFormat="1" applyFont="1" applyFill="1" applyBorder="1" applyAlignment="1">
      <x:alignment vertical="center"/>
    </x:xf>
    <x:xf numFmtId="200" fontId="4"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e48755a3294028" /><Relationship Type="http://schemas.openxmlformats.org/officeDocument/2006/relationships/theme" Target="/xl/theme/theme1.xml" Id="R374358333da1432d" /><Relationship Type="http://schemas.openxmlformats.org/officeDocument/2006/relationships/sharedStrings" Target="/xl/sharedStrings.xml" Id="R0c8877e70f70440a" /><Relationship Type="http://schemas.openxmlformats.org/officeDocument/2006/relationships/worksheet" Target="/xl/worksheets/sheet1.xml" Id="R1817e73cd2634d13" /><Relationship Type="http://schemas.openxmlformats.org/officeDocument/2006/relationships/worksheet" Target="/xl/worksheets/sheet2.xml" Id="R15df31aba6724a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9" hidden="0" customWidth="1"/>
    <x:col min="3" max="3" width="19" hidden="0" customWidth="1"/>
    <x:col min="4" max="4" width="19" hidden="0" customWidth="1"/>
    <x:col min="5" max="5" width="12" hidden="0" customWidth="1"/>
  </x:cols>
  <x:sheetData>
    <x:row r="1">
      <x:c r="A1" s="2"/>
      <x:c r="B1" s="2"/>
      <x:c r="C1" s="2"/>
      <x:c r="D1" s="2"/>
      <x:c r="E1" s="2"/>
      <x:c r="F1" s="2"/>
    </x:row>
    <x:row r="2" ht="28" customHeight="1">
      <x:c r="A2" s="3" t="str">
        <x:v>Evaluación de las tres propuestas</x:v>
      </x:c>
      <x:c r="B2" s="2"/>
      <x:c r="C2" s="2"/>
      <x:c r="D2" s="2"/>
      <x:c r="E2" s="2"/>
      <x:c r="F2" s="2"/>
    </x:row>
    <x:row r="3">
      <x:c r="A3" s="2"/>
      <x:c r="B3" s="2"/>
      <x:c r="C3" s="2"/>
      <x:c r="D3" s="2"/>
      <x:c r="E3" s="2"/>
      <x:c r="F3" s="2"/>
    </x:row>
    <x:row r="4">
      <x:c r="A4" s="2" t="str">
        <x:v>Workshop SMART • Schubert Lombeida Manjarrez y Niko Dimitri Jiménez Bruno</x:v>
      </x:c>
      <x:c r="B4" s="2"/>
      <x:c r="C4" s="2"/>
      <x:c r="D4" s="2"/>
      <x:c r="E4" s="2"/>
      <x:c r="F4" s="2"/>
    </x:row>
    <x:row r="5">
      <x:c r="A5" s="2"/>
      <x:c r="B5" s="2"/>
      <x:c r="C5" s="2"/>
      <x:c r="D5" s="2"/>
      <x:c r="E5" s="2"/>
      <x:c r="F5" s="2"/>
    </x:row>
    <x:row r="6" ht="34" customHeight="1">
      <x:c r="A6" s="6" t="str">
        <x:v>Criterio</x:v>
      </x:c>
      <x:c r="B6" s="6" t="str">
        <x:v>GLF</x:v>
      </x:c>
      <x:c r="C6" s="6" t="str">
        <x:v>PreClass AI</x:v>
      </x:c>
      <x:c r="D6" s="6" t="str">
        <x:v>PoliScope AI</x:v>
      </x:c>
      <x:c r="E6" s="6" t="str">
        <x:v>Peso</x:v>
      </x:c>
      <x:c r="F6" s="2"/>
    </x:row>
    <x:row r="7" ht="29" customHeight="1">
      <x:c r="A7" s="2" t="str">
        <x:v>Específico</x:v>
      </x:c>
      <x:c r="B7" s="16" t="n">
        <x:f>Justificaciones!C6</x:f>
        <x:v>5</x:v>
      </x:c>
      <x:c r="C7" s="16" t="n">
        <x:f>Justificaciones!C11</x:f>
        <x:v>4</x:v>
      </x:c>
      <x:c r="D7" s="16" t="n">
        <x:f>Justificaciones!C16</x:f>
        <x:v>4</x:v>
      </x:c>
      <x:c r="E7" s="7" t="n">
        <x:v>0.2</x:v>
      </x:c>
      <x:c r="F7" s="2"/>
    </x:row>
    <x:row r="8" ht="29" customHeight="1">
      <x:c r="A8" s="2" t="str">
        <x:v>Medible</x:v>
      </x:c>
      <x:c r="B8" s="16" t="n">
        <x:f>Justificaciones!C7</x:f>
        <x:v>4</x:v>
      </x:c>
      <x:c r="C8" s="16" t="n">
        <x:f>Justificaciones!C12</x:f>
        <x:v>4</x:v>
      </x:c>
      <x:c r="D8" s="16" t="n">
        <x:f>Justificaciones!C17</x:f>
        <x:v>3</x:v>
      </x:c>
      <x:c r="E8" s="7" t="n">
        <x:v>0.2</x:v>
      </x:c>
      <x:c r="F8" s="2"/>
    </x:row>
    <x:row r="9" ht="29" customHeight="1">
      <x:c r="A9" s="2" t="str">
        <x:v>Alcanzable</x:v>
      </x:c>
      <x:c r="B9" s="16" t="n">
        <x:f>Justificaciones!C8</x:f>
        <x:v>4</x:v>
      </x:c>
      <x:c r="C9" s="16" t="n">
        <x:f>Justificaciones!C13</x:f>
        <x:v>4</x:v>
      </x:c>
      <x:c r="D9" s="16" t="n">
        <x:f>Justificaciones!C18</x:f>
        <x:v>3</x:v>
      </x:c>
      <x:c r="E9" s="7" t="n">
        <x:v>0.25</x:v>
      </x:c>
      <x:c r="F9" s="2"/>
    </x:row>
    <x:row r="10" ht="29" customHeight="1">
      <x:c r="A10" s="2" t="str">
        <x:v>Relevante</x:v>
      </x:c>
      <x:c r="B10" s="16" t="n">
        <x:f>Justificaciones!C9</x:f>
        <x:v>5</x:v>
      </x:c>
      <x:c r="C10" s="16" t="n">
        <x:f>Justificaciones!C14</x:f>
        <x:v>4</x:v>
      </x:c>
      <x:c r="D10" s="16" t="n">
        <x:f>Justificaciones!C19</x:f>
        <x:v>4</x:v>
      </x:c>
      <x:c r="E10" s="7" t="n">
        <x:v>0.2</x:v>
      </x:c>
      <x:c r="F10" s="2"/>
    </x:row>
    <x:row r="11" ht="29" customHeight="1">
      <x:c r="A11" s="2" t="str">
        <x:v>Temporal</x:v>
      </x:c>
      <x:c r="B11" s="16" t="n">
        <x:f>Justificaciones!C10</x:f>
        <x:v>4</x:v>
      </x:c>
      <x:c r="C11" s="16" t="n">
        <x:f>Justificaciones!C15</x:f>
        <x:v>4</x:v>
      </x:c>
      <x:c r="D11" s="16" t="n">
        <x:f>Justificaciones!C20</x:f>
        <x:v>3</x:v>
      </x:c>
      <x:c r="E11" s="7" t="n">
        <x:v>0.15</x:v>
      </x:c>
      <x:c r="F11" s="2"/>
    </x:row>
    <x:row r="12" ht="29" customHeight="1">
      <x:c r="A12" s="12" t="str">
        <x:v>Total ponderado sobre 5</x:v>
      </x:c>
      <x:c r="B12" s="13" t="n">
        <x:f>IF(COUNT(B7:B11)=5,SUMPRODUCT(B7:B11,$E$7:$E$11),"Pendiente")</x:f>
        <x:v>4.3999999999999995</x:v>
      </x:c>
      <x:c r="C12" s="13" t="n">
        <x:f>IF(COUNT(C7:C11)=5,SUMPRODUCT(C7:C11,$E$7:$E$11),"Pendiente")</x:f>
        <x:v>4</x:v>
      </x:c>
      <x:c r="D12" s="13" t="n">
        <x:f>IF(COUNT(D7:D11)=5,SUMPRODUCT(D7:D11,$E$7:$E$11),"Pendiente")</x:f>
        <x:v>3.4000000000000004</x:v>
      </x:c>
      <x:c r="E12" s="14" t="n">
        <x:f>SUM(E7:E11)</x:f>
        <x:v>1</x:v>
      </x:c>
      <x:c r="F12" s="2"/>
    </x:row>
    <x:row r="13">
      <x:c r="A13" s="2"/>
      <x:c r="B13" s="2"/>
      <x:c r="C13" s="2"/>
      <x:c r="D13" s="2"/>
      <x:c r="E13" s="2"/>
      <x:c r="F13" s="2"/>
    </x:row>
    <x:row r="14">
      <x:c r="A14" s="2" t="str">
        <x:v>Primera opción</x:v>
      </x:c>
      <x:c r="B14" s="2" t="str">
        <x:f>IF(COUNT(B12:D12)&lt;3,"Pendiente",IF(COUNTIF(B12:D12,MAX(B12:D12))&gt;1,"Empate",INDEX(B6:D6,1,MATCH(MAX(B12:D12),B12:D12,0))))</x:f>
        <x:v>GLF</x:v>
      </x:c>
      <x:c r="C14" s="2"/>
      <x:c r="D14" s="2"/>
      <x:c r="E14" s="2"/>
      <x:c r="F14" s="2"/>
    </x:row>
    <x:row r="15">
      <x:c r="A15" s="2"/>
      <x:c r="B15" s="2"/>
      <x:c r="C15" s="2"/>
      <x:c r="D15" s="2"/>
      <x:c r="E15" s="2"/>
      <x:c r="F15" s="2"/>
    </x:row>
    <x:row r="16">
      <x:c r="A16" s="2"/>
      <x:c r="B16" s="2"/>
      <x:c r="C16" s="2"/>
      <x:c r="D16" s="2"/>
      <x:c r="E16" s="2"/>
      <x:c r="F16" s="2"/>
    </x:row>
    <x:row r="17" ht="24" customHeight="1">
      <x:c r="A17" s="15" t="str">
        <x:v>Resultado de una valoración técnica argumentada; no es una medición del rendimiento de los modelos.</x:v>
      </x:c>
      <x:c r="B17" s="15"/>
      <x:c r="C17" s="15"/>
      <x:c r="D17" s="15"/>
      <x:c r="E17" s="15"/>
      <x:c r="F17" s="2"/>
    </x:row>
    <x:row r="18" ht="24" customHeight="1">
      <x:c r="A18" s="15"/>
      <x:c r="B18" s="15"/>
      <x:c r="C18" s="15"/>
      <x:c r="D18" s="15"/>
      <x:c r="E18" s="15"/>
      <x:c r="F18" s="2"/>
    </x:row>
    <x:row r="19" ht="24" customHeight="1">
      <x:c r="A19" s="15" t="str">
        <x:v>Pesos del workshop: 20%, 20%, 25%, 20% y 15%. Escala: 1 muy bajo, 2 bajo, 3 medio, 4 alto, 5 excelente.</x:v>
      </x:c>
      <x:c r="B19" s="15"/>
      <x:c r="C19" s="15"/>
      <x:c r="D19" s="15"/>
      <x:c r="E19" s="15"/>
      <x:c r="F19" s="2"/>
    </x:row>
    <x:row r="20" ht="24" customHeight="1">
      <x:c r="A20" s="15"/>
      <x:c r="B20" s="15"/>
      <x:c r="C20" s="15"/>
      <x:c r="D20" s="15"/>
      <x:c r="E20" s="15"/>
      <x:c r="F20" s="2"/>
    </x:row>
    <x:row r="21" ht="24" customHeight="1">
      <x:c r="A21" s="15" t="str">
        <x:v>Usuario: máximo 30 expedientes por anonimizar, normativa y Ulf como experto. Equipo con poca experiencia; presupuesto estimado USD 100.</x:v>
      </x:c>
      <x:c r="B21" s="15"/>
      <x:c r="C21" s="15"/>
      <x:c r="D21" s="15"/>
      <x:c r="E21" s="15"/>
      <x:c r="F21" s="2"/>
    </x:row>
    <x:row r="22" ht="24" customHeight="1">
      <x:c r="A22" s="15"/>
      <x:c r="B22" s="15"/>
      <x:c r="C22" s="15"/>
      <x:c r="D22" s="15"/>
      <x:c r="E22" s="15"/>
      <x:c r="F22" s="2"/>
    </x:row>
    <x:row r="23" ht="24" customHeight="1">
      <x:c r="A23" s="15" t="str">
        <x:v>Plazo confirmado: seis semanas totales, cinco restantes desde el próximo sábado. Calendario propuesto: 19/09 a 23/10/2026.</x:v>
      </x:c>
      <x:c r="B23" s="15"/>
      <x:c r="C23" s="15"/>
      <x:c r="D23" s="15"/>
      <x:c r="E23" s="15"/>
      <x:c r="F23" s="2"/>
    </x:row>
    <x:row r="24" ht="24" customHeight="1">
      <x:c r="A24" s="15"/>
      <x:c r="B24" s="15"/>
      <x:c r="C24" s="15"/>
      <x:c r="D24" s="15"/>
      <x:c r="E24" s="15"/>
      <x:c r="F24" s="2"/>
    </x:row>
    <x:row r="25" ht="24" customHeight="1">
      <x:c r="A25" s="15" t="str">
        <x:v>La ventaja GLF depende de datos utilizables y validación experta. Si Alcanzable baja de 4 a 2, su total cae a 3,90 y PreClass pasa al primer lugar.</x:v>
      </x:c>
      <x:c r="B25" s="15"/>
      <x:c r="C25" s="15"/>
      <x:c r="D25" s="15"/>
      <x:c r="E25" s="15"/>
      <x:c r="F25" s="2"/>
    </x:row>
    <x:row r="26" ht="24" customHeight="1">
      <x:c r="A26" s="15"/>
      <x:c r="B26" s="15"/>
      <x:c r="C26" s="15"/>
      <x:c r="D26" s="15"/>
      <x:c r="E26" s="15"/>
      <x:c r="F26" s="2"/>
    </x:row>
    <x:row r="27" ht="24" customHeight="1">
      <x:c r="A27" s="15" t="str">
        <x:v>Editar los puntajes en Justificaciones. Los totales y la primera opción se recalculan; actualizar también la justificación al cambiar un puntaje.</x:v>
      </x:c>
      <x:c r="B27" s="15"/>
      <x:c r="C27" s="15"/>
      <x:c r="D27" s="15"/>
      <x:c r="E27" s="15"/>
      <x:c r="F27" s="2"/>
    </x:row>
    <x:row r="28" ht="24" customHeight="1">
      <x:c r="A28" s="15"/>
      <x:c r="B28" s="15"/>
      <x:c r="C28" s="15"/>
      <x:c r="D28" s="15"/>
      <x:c r="E28" s="15"/>
      <x:c r="F28" s="2"/>
    </x:row>
    <x:row r="29" ht="24" customHeight="1">
      <x:c r="A29" s="15" t="str">
        <x:v>La selección requiere aplicar el checklist: mayor puntaje comparativo no equivale a autorización institucional ni a objetivo definitivamente validado.</x:v>
      </x:c>
      <x:c r="B29" s="15"/>
      <x:c r="C29" s="15"/>
      <x:c r="D29" s="15"/>
      <x:c r="E29" s="15"/>
      <x:c r="F29" s="2"/>
    </x:row>
    <x:row r="30" ht="24" customHeight="1">
      <x:c r="A30" s="15"/>
      <x:c r="B30" s="15"/>
      <x:c r="C30" s="15"/>
      <x:c r="D30" s="15"/>
      <x:c r="E30" s="15"/>
      <x:c r="F30" s="2"/>
    </x:row>
    <x:row r="31">
      <x:c r="A31" s="2"/>
      <x:c r="B31" s="2"/>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row r="36">
      <x:c r="A36" s="2"/>
      <x:c r="B36" s="2"/>
      <x:c r="C36" s="2"/>
      <x:c r="D36" s="2"/>
      <x:c r="E36" s="2"/>
      <x:c r="F36" s="2"/>
    </x:row>
    <x:row r="37">
      <x:c r="A37" s="2"/>
      <x:c r="B37" s="2"/>
      <x:c r="C37" s="2"/>
      <x:c r="D37" s="2"/>
      <x:c r="E37" s="2"/>
      <x:c r="F37" s="2"/>
    </x:row>
    <x:row r="38">
      <x:c r="A38" s="2"/>
      <x:c r="B38" s="2"/>
      <x:c r="C38" s="2"/>
      <x:c r="D38" s="2"/>
      <x:c r="E38" s="2"/>
      <x:c r="F38" s="2"/>
    </x:row>
    <x:row r="39">
      <x:c r="A39" s="2"/>
      <x:c r="B39" s="2"/>
      <x:c r="C39" s="2"/>
      <x:c r="D39" s="2"/>
      <x:c r="E39" s="2"/>
      <x:c r="F39" s="2"/>
    </x:row>
    <x:row r="40">
      <x:c r="A40" s="2"/>
      <x:c r="B40" s="2"/>
      <x:c r="C40" s="2"/>
      <x:c r="D40" s="2"/>
      <x:c r="E40" s="2"/>
      <x:c r="F40" s="2"/>
    </x:row>
  </x:sheetData>
  <x:mergeCells>
    <x:mergeCell ref="A17:E18"/>
    <x:mergeCell ref="A19:E20"/>
    <x:mergeCell ref="A21:E22"/>
    <x:mergeCell ref="A23:E24"/>
    <x:mergeCell ref="A25:E26"/>
    <x:mergeCell ref="A27:E28"/>
    <x:mergeCell ref="A29:E3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18" hidden="0" customWidth="1"/>
    <x:col min="3" max="3" width="13" hidden="0" customWidth="1"/>
    <x:col min="4" max="4" width="92" hidden="0" customWidth="1"/>
    <x:col min="5" max="5" width="55" hidden="0" customWidth="1"/>
    <x:col min="6" max="6" width="11" hidden="0" customWidth="1"/>
  </x:cols>
  <x:sheetData>
    <x:row r="1">
      <x:c r="A1" s="2"/>
      <x:c r="B1" s="2"/>
      <x:c r="C1" s="2"/>
      <x:c r="D1" s="2"/>
      <x:c r="E1" s="2"/>
      <x:c r="F1" s="2"/>
    </x:row>
    <x:row r="2">
      <x:c r="A2" s="3" t="str">
        <x:v>Puntajes y justificaciones</x:v>
      </x:c>
      <x:c r="B2" s="2"/>
      <x:c r="C2" s="2"/>
      <x:c r="D2" s="2"/>
      <x:c r="E2" s="2"/>
      <x:c r="F2" s="2"/>
    </x:row>
    <x:row r="3">
      <x:c r="A3" s="2" t="str">
        <x:v>Cada justificación contiene entre 50 y 80 palabras. Fuente principal: 3 PROPUESTAS.docx.</x:v>
      </x:c>
      <x:c r="B3" s="2"/>
      <x:c r="C3" s="2"/>
      <x:c r="D3" s="2"/>
      <x:c r="E3" s="2"/>
      <x:c r="F3" s="2"/>
    </x:row>
    <x:row r="4">
      <x:c r="A4" s="2"/>
      <x:c r="B4" s="2"/>
      <x:c r="C4" s="2"/>
      <x:c r="D4" s="2"/>
      <x:c r="E4" s="2"/>
      <x:c r="F4" s="2"/>
    </x:row>
    <x:row r="5" ht="34" customHeight="1">
      <x:c r="A5" s="6" t="str">
        <x:v>Propuesta</x:v>
      </x:c>
      <x:c r="B5" s="6" t="str">
        <x:v>Criterio</x:v>
      </x:c>
      <x:c r="C5" s="6" t="str">
        <x:v>Puntaje 1–5</x:v>
      </x:c>
      <x:c r="D5" s="6" t="str">
        <x:v>Justificación</x:v>
      </x:c>
      <x:c r="E5" s="6" t="str">
        <x:v>Evidencia específica</x:v>
      </x:c>
      <x:c r="F5" s="6" t="str">
        <x:v>Palabras</x:v>
      </x:c>
    </x:row>
    <x:row r="6" ht="112" customHeight="1">
      <x:c r="A6" s="15" t="str">
        <x:v>GLF</x:v>
      </x:c>
      <x:c r="B6" s="15" t="str">
        <x:v>Específico</x:v>
      </x:c>
      <x:c r="C6" s="18" t="n">
        <x:v>5</x:v>
      </x:c>
      <x:c r="D6" s="15" t="str">
        <x:v>El foro identifica la revisión de salvaguardas y a los especialistas de GLF como usuarios. El procedimiento actualizado concreta diecisiete campos desde la actividad hasta la planificación de la medida, permitiendo delimitar entradas y salidas. Se propone recuperar fichas de riesgos y salvaguardas con evidencia, manteniendo valoraciones y decisiones humanas. El prototipo excluye seguimiento trimestral y plataforma integral, sin perder el propósito de preevaluación documental.</x:v>
      </x:c>
      <x:c r="E6" s="15" t="str">
        <x:v>Foro §1, problema y solución; Especificacion_Matriz_Riesgos_y_Salvaguardas.docx, secciones 1–3 y 8; nueva matriz A3:Q3.</x:v>
      </x:c>
      <x:c r="F6" s="15" t="n">
        <x:v>65</x:v>
      </x:c>
    </x:row>
    <x:row r="7" ht="112" customHeight="1">
      <x:c r="A7" s="15" t="str">
        <x:v>GLF</x:v>
      </x:c>
      <x:c r="B7" s="15" t="str">
        <x:v>Medible</x:v>
      </x:c>
      <x:c r="C7" s="18" t="n">
        <x:v>4</x:v>
      </x:c>
      <x:c r="D7" s="15" t="str">
        <x:v>Es posible medir recuperación de evidencia con Recall@5 y nDCG@5, completitud con F1 macro y tiempo de revisión con una comparación manual asistida. El foro ya distingue línea base y modelo semántico. Sin embargo, todavía no existe un conjunto de referencia etiquetado ni una medición del tiempo actual; los umbrales propuestos deberán tratarse como metas experimentales, nunca como resultados alcanzados.</x:v>
      </x:c>
      <x:c r="E7" s="15" t="str">
        <x:v>Foro §1, comparación de enfoques y reglas; Canvas, métricas; acta 21/08/2026, hallazgos.</x:v>
      </x:c>
      <x:c r="F7" s="15" t="n">
        <x:v>60</x:v>
      </x:c>
    </x:row>
    <x:row r="8" ht="112" customHeight="1">
      <x:c r="A8" s="15" t="str">
        <x:v>GLF</x:v>
      </x:c>
      <x:c r="B8" s="15" t="str">
        <x:v>Alcanzable</x:v>
      </x:c>
      <x:c r="C8" s="18" t="n">
        <x:v>4</x:v>
      </x:c>
      <x:c r="D8" s="15" t="str">
        <x:v>El usuario dispone de un máximo de treinta expedientes por anonimizar, normativa y Ulf como especialista. La matriz actualizada y la lista de riesgos aportan una base para el catálogo. Los modelos preentrenados reducen requisitos de entrenamiento, pero el equipo tiene poca experiencia y un presupuesto estimado de cien dólares. El alcance debe limitarse a recuperación y comprobaciones, verificando datos, dedicación y capacidad de cómputo.</x:v>
      </x:c>
      <x:c r="E8" s="15" t="str">
        <x:v>Foro §1; confirmaciones del usuario 17/09/2026; procedimiento actualizado, especificación y lista revUH; ficha E5 [W1].</x:v>
      </x:c>
      <x:c r="F8" s="15" t="n">
        <x:v>65</x:v>
      </x:c>
    </x:row>
    <x:row r="9" ht="112" customHeight="1">
      <x:c r="A9" s="15" t="str">
        <x:v>GLF</x:v>
      </x:c>
      <x:c r="B9" s="15" t="str">
        <x:v>Relevante</x:v>
      </x:c>
      <x:c r="C9" s="18" t="n">
        <x:v>5</x:v>
      </x:c>
      <x:c r="D9" s="15" t="str">
        <x:v>La propuesta responde a una necesidad institucional localizada y vinculada con la conservación en Galápagos. Las entrevistas y los instrumentos existentes muestran tareas de revisión, observaciones y comprobación documental que requieren trazabilidad. El beneficio esperado consiste en apoyar al especialista para encontrar evidencia y advertir omisiones. No se presume una reducción de daños ambientales ni de tiempos sin evaluación, pero la relevancia del problema está documentada.</x:v>
      </x:c>
      <x:c r="E9" s="15" t="str">
        <x:v>Foro §1, relevancia; acta 21/08/2026, temas y dificultades; instrucciones ESSA [W4].</x:v>
      </x:c>
      <x:c r="F9" s="15" t="n">
        <x:v>66</x:v>
      </x:c>
    </x:row>
    <x:row r="10" ht="112" customHeight="1">
      <x:c r="A10" s="15" t="str">
        <x:v>GLF</x:v>
      </x:c>
      <x:c r="B10" s="15" t="str">
        <x:v>Temporal</x:v>
      </x:c>
      <x:c r="C10" s="18" t="n">
        <x:v>4</x:v>
      </x:c>
      <x:c r="D10" s="15" t="str">
        <x:v>El foro acota el prototipo a seis semanas y permite separar preparación documental, línea base, recuperación semántica y evaluación. Es un alcance temporal defendible si los datos y el experto están disponibles desde el inicio. La selección excluye visión artificial, integraciones productivas y ajuste fino. El usuario confirma que queda una ventana de cinco semanas desde el próximo sábado; se necesita ejecución concentrada, por lo que no corresponde asignar excelencia.</x:v>
      </x:c>
      <x:c r="E10" s="15" t="str">
        <x:v>Foro, introducción y cierre §1; Workshop PDF p. 2, criterio temporal. Usuario 17/09/2026: seis semanas totales, cinco restantes.</x:v>
      </x:c>
      <x:c r="F10" s="15" t="n">
        <x:v>70</x:v>
      </x:c>
    </x:row>
    <x:row r="11" ht="112" customHeight="1">
      <x:c r="A11" s="15" t="str">
        <x:v>PreClass AI</x:v>
      </x:c>
      <x:c r="B11" s="15" t="str">
        <x:v>Específico</x:v>
      </x:c>
      <x:c r="C11" s="18" t="n">
        <x:v>4</x:v>
      </x:c>
      <x:c r="D11" s="15" t="str">
        <x:v>La propuesta define entradas observables, tema, nivel y tiempo disponible, y una salida concreta de recursos ordenados. También limita el MVP a una asignatura y entre diez y quince temas. Sin embargo, aún no identifica la asignatura, el docente ni un grupo de estudiantes participante. Estas decisiones pendientes afectan la curación del contenido y la interpretación de relevancia, por lo que la especificidad es buena, aunque incompleta.</x:v>
      </x:c>
      <x:c r="E11" s="15" t="str">
        <x:v>Foro §2, solución y delimitación a una asignatura.</x:v>
      </x:c>
      <x:c r="F11" s="15" t="n">
        <x:v>67</x:v>
      </x:c>
    </x:row>
    <x:row r="12" ht="112" customHeight="1">
      <x:c r="A12" s="15" t="str">
        <x:v>PreClass AI</x:v>
      </x:c>
      <x:c r="B12" s="15" t="str">
        <x:v>Medible</x:v>
      </x:c>
      <x:c r="C12" s="18" t="n">
        <x:v>4</x:v>
      </x:c>
      <x:c r="D12" s="15" t="str">
        <x:v>El foro propone Precision@5, nDCG@5 y valoraciones de relevancia, métricas adecuadas para comparar recuperación léxica, semántica y ranking híbrido. Se puede construir un conjunto de consultas con juicios de docentes o estudiantes y aplicar el mismo protocolo a todos los enfoques. Todavía faltan objetivos numéricos, cantidad de evaluadores y datos etiquetados. La mejora del aprendizaje no puede inferirse únicamente de mejores resultados del recomendador.</x:v>
      </x:c>
      <x:c r="E12" s="15" t="str">
        <x:v>Foro §2, estrategias y evaluación; Sentence Transformers, evaluación de recuperación [W2].</x:v>
      </x:c>
      <x:c r="F12" s="15" t="n">
        <x:v>64</x:v>
      </x:c>
    </x:row>
    <x:row r="13" ht="112" customHeight="1">
      <x:c r="A13" s="15" t="str">
        <x:v>PreClass AI</x:v>
      </x:c>
      <x:c r="B13" s="15" t="str">
        <x:v>Alcanzable</x:v>
      </x:c>
      <x:c r="C13" s="18" t="n">
        <x:v>4</x:v>
      </x:c>
      <x:c r="D13" s="15" t="str">
        <x:v>El repositorio puede curarse a partir de recursos abiertos para una asignatura, sin depender de datos institucionales confidenciales ni de entrenamiento intensivo. El uso de modelos preentrenados y una interfaz simple favorece la implementación con recursos modestos. Aun así, seleccionar materiales adecuados, verificar licencias y obtener juicios humanos requiere trabajo. El corpus y la participación docente no están confirmados, por lo que se evita el puntaje máximo.</x:v>
      </x:c>
      <x:c r="E13" s="15" t="str">
        <x:v>Foro §2, repositorio curado y entorno Colab; ficha E5 [W1].</x:v>
      </x:c>
      <x:c r="F13" s="15" t="n">
        <x:v>67</x:v>
      </x:c>
    </x:row>
    <x:row r="14" ht="112" customHeight="1">
      <x:c r="A14" s="15" t="str">
        <x:v>PreClass AI</x:v>
      </x:c>
      <x:c r="B14" s="15" t="str">
        <x:v>Relevante</x:v>
      </x:c>
      <x:c r="C14" s="18" t="n">
        <x:v>4</x:v>
      </x:c>
      <x:c r="D14" s="15" t="str">
        <x:v>El problema de preparación previa y selección de materiales tiene beneficiarios claros entre estudiantes y docentes. La propuesta podría reducir tiempo de búsqueda y mejorar la adecuación de los recursos al tema, nivel y disponibilidad del estudiante. No obstante, el expediente no incluye entrevistas educativas, una asignatura seleccionada ni una medición del problema. Su relevancia es plausible y coherente con la maestría, pero menos documentada que el caso GLF.</x:v>
      </x:c>
      <x:c r="E14" s="15" t="str">
        <x:v>Foro §2, problema, afectación y relevancia; ausencia de validación educativa en expediente.</x:v>
      </x:c>
      <x:c r="F14" s="15" t="n">
        <x:v>69</x:v>
      </x:c>
    </x:row>
    <x:row r="15" ht="112" customHeight="1">
      <x:c r="A15" s="15" t="str">
        <x:v>PreClass AI</x:v>
      </x:c>
      <x:c r="B15" s="15" t="str">
        <x:v>Temporal</x:v>
      </x:c>
      <x:c r="C15" s="18" t="n">
        <x:v>4</x:v>
      </x:c>
      <x:c r="D15" s="15" t="str">
        <x:v>La restricción a una asignatura y un repositorio cerrado permite ordenar el trabajo en curación, línea base, modelo semántico, ranking y evaluación durante seis semanas. La principal dependencia temporal es disponer de los temas y de evaluadores desde las primeras semanas. No se contempla integración con una plataforma educativa ni aprendizaje continuo. El usuario confirma cinco semanas restantes; la dedicación sigue pendiente, por lo que el cronograma es viable bajo condiciones explícitas.</x:v>
      </x:c>
      <x:c r="E15" s="15" t="str">
        <x:v>Foro, introducción de seis semanas; §2, alcance y mejoras futuras. Usuario 17/09/2026: seis semanas totales, cinco restantes.</x:v>
      </x:c>
      <x:c r="F15" s="15" t="n">
        <x:v>72</x:v>
      </x:c>
    </x:row>
    <x:row r="16" ht="112" customHeight="1">
      <x:c r="A16" s="15" t="str">
        <x:v>PoliScope AI</x:v>
      </x:c>
      <x:c r="B16" s="15" t="str">
        <x:v>Específico</x:v>
      </x:c>
      <x:c r="C16" s="18" t="n">
        <x:v>4</x:v>
      </x:c>
      <x:c r="D16" s="15" t="str">
        <x:v>PoliScope identifica contenido público de YouTube ecuatoriano, clasificación temática, sentimiento y resultados agregados. El foro excluye otras redes, transcripción masiva y perfiles políticos individuales, lo que delimita adecuadamente el producto. Aún no especifica canales, período, tamaño de muestra ni procedimiento para resolver comentarios ambiguos. Estas decisiones son necesarias para transformar el planteamiento en un protocolo reproducible y para evitar conclusiones sobre una población que los datos no representan.</x:v>
      </x:c>
      <x:c r="E16" s="15" t="str">
        <x:v>Foro §3, solución, límites éticos y exclusiones.</x:v>
      </x:c>
      <x:c r="F16" s="15" t="n">
        <x:v>68</x:v>
      </x:c>
    </x:row>
    <x:row r="17" ht="112" customHeight="1">
      <x:c r="A17" s="15" t="str">
        <x:v>PoliScope AI</x:v>
      </x:c>
      <x:c r="B17" s="15" t="str">
        <x:v>Medible</x:v>
      </x:c>
      <x:c r="C17" s="18" t="n">
        <x:v>3</x:v>
      </x:c>
      <x:c r="D17" s="15" t="str">
        <x:v>La propuesta contempla F1 macro sobre comentarios etiquetados manualmente, lo que permite comparar la línea base con BETO o XLM-R. Sin embargo, deben distinguirse las métricas de tema y sentimiento, establecer clases y medir desacuerdos entre anotadores. No existe todavía una muestra etiquetada ni se conocen desbalance, ironía o mezcla de temas. La medición es posible, pero requiere mayor preparación y control de sesgos que las otras alternativas.</x:v>
      </x:c>
      <x:c r="E17" s="15" t="str">
        <x:v>Foro §3, modelos y evaluación F1 macro; YouTube API [W3].</x:v>
      </x:c>
      <x:c r="F17" s="15" t="n">
        <x:v>68</x:v>
      </x:c>
    </x:row>
    <x:row r="18" ht="112" customHeight="1">
      <x:c r="A18" s="15" t="str">
        <x:v>PoliScope AI</x:v>
      </x:c>
      <x:c r="B18" s="15" t="str">
        <x:v>Alcanzable</x:v>
      </x:c>
      <x:c r="C18" s="18" t="n">
        <x:v>3</x:v>
      </x:c>
      <x:c r="D18" s="15" t="str">
        <x:v>La recolección puede realizarse mediante la API oficial de YouTube y la línea base requiere herramientas comunes de procesamiento de texto. No obstante, el acceso depende de configuración, cuotas y disponibilidad de comentarios; algunos videos los deshabilitan. Además, el modelo principal necesita suficientes ejemplos etiquetados y recursos de entrenamiento. La ausencia de corpus, canales y credenciales verificadas introduce más incertidumbre de ejecución que en un repositorio documental controlado.</x:v>
      </x:c>
      <x:c r="E18" s="15" t="str">
        <x:v>Foro §3, factibilidad y dependencias; documentación commentThreads.list [W3].</x:v>
      </x:c>
      <x:c r="F18" s="15" t="n">
        <x:v>68</x:v>
      </x:c>
    </x:row>
    <x:row r="19" ht="112" customHeight="1">
      <x:c r="A19" s="15" t="str">
        <x:v>PoliScope AI</x:v>
      </x:c>
      <x:c r="B19" s="15" t="str">
        <x:v>Relevante</x:v>
      </x:c>
      <x:c r="C19" s="18" t="n">
        <x:v>4</x:v>
      </x:c>
      <x:c r="D19" s="15" t="str">
        <x:v>El análisis agregado puede contribuir a investigación académica y periodismo de datos al resumir temas y reacciones en un corpus público delimitado. El foro identifica esos beneficiarios y evita la inferencia de posturas individuales. Sin embargo, no hay un usuario comprometido ni demanda cuantificada, y los comentaristas de YouTube no representan a toda la ciudadanía. La utilidad depende de comunicar claramente cobertura, período y sesgos de selección.</x:v>
      </x:c>
      <x:c r="E19" s="15" t="str">
        <x:v>Foro §3, problema, relevancia y límites éticos.</x:v>
      </x:c>
      <x:c r="F19" s="15" t="n">
        <x:v>67</x:v>
      </x:c>
    </x:row>
    <x:row r="20" ht="112" customHeight="1">
      <x:c r="A20" s="15" t="str">
        <x:v>PoliScope AI</x:v>
      </x:c>
      <x:c r="B20" s="15" t="str">
        <x:v>Temporal</x:v>
      </x:c>
      <x:c r="C20" s="18" t="n">
        <x:v>3</x:v>
      </x:c>
      <x:c r="D20" s="15" t="str">
        <x:v>El período de seis semanas exige recolectar, depurar, etiquetar y evaluar dos tareas de clasificación, además de comparar modelos. Las exclusiones del foro reducen alcance, pero las cuotas, comentarios ausentes y desacuerdos de etiquetado pueden consumir tiempo importante. Es posible producir un estudio exploratorio acotado; sin embargo, el volumen y los recursos siguen abiertos. El cronograma presenta más dependencias y menor margen que las alternativas de recuperación documental.</x:v>
      </x:c>
      <x:c r="E20" s="15" t="str">
        <x:v>Foro, introducción; §3, modelos, exclusiones y factibilidad. Usuario 17/09/2026: seis semanas totales, cinco restantes.</x:v>
      </x:c>
      <x:c r="F20" s="15" t="n">
        <x:v>68</x:v>
      </x:c>
    </x:row>
    <x:row r="21">
      <x:c r="A21" s="2"/>
      <x:c r="B21" s="2"/>
      <x:c r="C21" s="2"/>
      <x:c r="D21" s="2"/>
      <x:c r="E21" s="2"/>
      <x:c r="F21" s="2"/>
    </x:row>
    <x:row r="22">
      <x:c r="A22" s="2"/>
      <x:c r="B22" s="2"/>
      <x:c r="C22" s="2"/>
      <x:c r="D22" s="2"/>
      <x:c r="E22" s="2"/>
      <x:c r="F22" s="2"/>
    </x:row>
    <x:row r="23">
      <x:c r="A23" s="19" t="str">
        <x:v>Fuentes y trazabilidad</x:v>
      </x:c>
      <x:c r="B23" s="2"/>
      <x:c r="C23" s="2"/>
      <x:c r="D23" s="2"/>
      <x:c r="E23" s="2"/>
      <x:c r="F23" s="2"/>
    </x:row>
    <x:row r="24">
      <x:c r="A24" s="2"/>
      <x:c r="B24" s="2"/>
      <x:c r="C24" s="2"/>
      <x:c r="D24" s="2"/>
      <x:c r="E24" s="2"/>
      <x:c r="F24" s="2"/>
    </x:row>
    <x:row r="25" ht="42" customHeight="1">
      <x:c r="A25" s="2" t="str">
        <x:v>F1</x:v>
      </x:c>
      <x:c r="B25" s="15" t="str">
        <x:v>3 PROPUESTAS.docx</x:v>
      </x:c>
      <x:c r="C25" s="15"/>
      <x:c r="D25" s="15" t="str">
        <x:v>Semana 1. Secciones 1 GLF, 2 PreClass AI y 3 PoliScope AI; introducción de seis semanas.</x:v>
      </x:c>
      <x:c r="E25" s="2"/>
      <x:c r="F25" s="2"/>
    </x:row>
    <x:row r="26" ht="42" customHeight="1">
      <x:c r="A26" s="2" t="str">
        <x:v>F2</x:v>
      </x:c>
      <x:c r="B26" s="15" t="str">
        <x:v>WORKSHOP METODOLOGÍA SMART - semana 1.pdf</x:v>
      </x:c>
      <x:c r="C26" s="15"/>
      <x:c r="D26" s="15" t="str">
        <x:v>Páginas 1–2: matriz, pesos y justificaciones de 50–80 palabras. Páginas 3–4: pitch.</x:v>
      </x:c>
      <x:c r="E26" s="2"/>
      <x:c r="F26" s="2"/>
    </x:row>
    <x:row r="27" ht="42" customHeight="1">
      <x:c r="A27" s="2" t="str">
        <x:v>F3</x:v>
      </x:c>
      <x:c r="B27" s="15" t="str">
        <x:v>Expediente local GLF</x:v>
      </x:c>
      <x:c r="C27" s="15"/>
      <x:c r="D27" s="15" t="str">
        <x:v>VEAS diligenciado, PGAS, acta 21/08/2026 y borrador Concept E&amp;S Risk Screening and Assessment.</x:v>
      </x:c>
      <x:c r="E27" s="2"/>
      <x:c r="F27" s="2"/>
    </x:row>
    <x:row r="28" ht="42" customHeight="1">
      <x:c r="A28" s="2" t="str">
        <x:v>U1</x:v>
      </x:c>
      <x:c r="B28" s="15" t="str">
        <x:v>Confirmaciones del usuario 17/09/2026</x:v>
      </x:c>
      <x:c r="C28" s="15"/>
      <x:c r="D28" s="15" t="str">
        <x:v>Máximo 30 expedientes por anonimizar; Ulf como experto; equipo con poca experiencia; presupuesto USD 100; cinco semanas restantes.</x:v>
      </x:c>
      <x:c r="E28" s="2"/>
      <x:c r="F28" s="2"/>
    </x:row>
    <x:row r="29" ht="42" customHeight="1">
      <x:c r="A29" s="2" t="str">
        <x:v>L6</x:v>
      </x:c>
      <x:c r="B29" s="15" t="str">
        <x:v>Procedimiento actualizado de Ulf</x:v>
      </x:c>
      <x:c r="C29" s="15"/>
      <x:c r="D29" s="15" t="str">
        <x:v>Especificación, lista revUH, Matriz_Riesgos_Salvaguardas_Final.xlsx y Presentacion_Matriz_Riesgos_GLF.pptx. Matriz: 17 campos; planificación, no seguimiento.</x:v>
      </x:c>
      <x:c r="E29" s="2"/>
      <x:c r="F29" s="2"/>
    </x:row>
    <x:row r="30" ht="42" customHeight="1">
      <x:c r="A30" s="2" t="str">
        <x:v>W1</x:v>
      </x:c>
      <x:c r="B30" s="15" t="str">
        <x:v>Multilingual E5 base</x:v>
      </x:c>
      <x:c r="C30" s="15"/>
      <x:c r="D30" s="15" t="str">
        <x:v>https://huggingface.co/intfloat/multilingual-e5-base</x:v>
      </x:c>
      <x:c r="E30" s="2"/>
      <x:c r="F30" s="2"/>
    </x:row>
    <x:row r="31" ht="42" customHeight="1">
      <x:c r="A31" s="2" t="str">
        <x:v>W2</x:v>
      </x:c>
      <x:c r="B31" s="15" t="str">
        <x:v>Evaluación de recuperación</x:v>
      </x:c>
      <x:c r="C31" s="15"/>
      <x:c r="D31" s="15" t="str">
        <x:v>https://www.sbert.net/docs/package_reference/sentence_transformer/evaluation.html</x:v>
      </x:c>
      <x:c r="E31" s="2"/>
      <x:c r="F31" s="2"/>
    </x:row>
    <x:row r="32" ht="42" customHeight="1">
      <x:c r="A32" s="2" t="str">
        <x:v>W3</x:v>
      </x:c>
      <x:c r="B32" s="15" t="str">
        <x:v>YouTube commentThreads.list</x:v>
      </x:c>
      <x:c r="C32" s="15"/>
      <x:c r="D32" s="15" t="str">
        <x:v>https://developers.google.com/youtube/v3/docs/commentThreads/list</x:v>
      </x:c>
      <x:c r="E32" s="2"/>
      <x:c r="F32" s="2"/>
    </x:row>
    <x:row r="33" ht="42" customHeight="1">
      <x:c r="A33" s="2" t="str">
        <x:v>W4</x:v>
      </x:c>
      <x:c r="B33" s="15" t="str">
        <x:v>Instrucciones oficiales GLF para screening</x:v>
      </x:c>
      <x:c r="C33" s="15"/>
      <x:c r="D33" s="15" t="str">
        <x:v>https://galapagoslifefund.org.ec/wp-content/uploads/2024/12/Instructions_ES_Screening_CN-Dec2024.pdf</x:v>
      </x:c>
      <x:c r="E33" s="2"/>
      <x:c r="F33" s="2"/>
    </x:row>
    <x:row r="34" ht="42" customHeight="1">
      <x:c r="A34" s="2" t="str">
        <x:v>W5</x:v>
      </x:c>
      <x:c r="B34" s="15" t="str">
        <x:v>Procedimientos y políticas GLF</x:v>
      </x:c>
      <x:c r="C34" s="15"/>
      <x:c r="D34" s="15" t="str">
        <x:v>https://galapagoslifefund.org.ec/data_resources/glf-operations-and-policies/</x:v>
      </x:c>
      <x:c r="E34" s="2"/>
      <x:c r="F34" s="2"/>
    </x:row>
    <x:row r="35" ht="42" customHeight="1">
      <x:c r="A35" s="2" t="str">
        <x:v>W6</x:v>
      </x:c>
      <x:c r="B35" s="15" t="str">
        <x:v>Normas de desempeño IFC</x:v>
      </x:c>
      <x:c r="C35" s="15"/>
      <x:c r="D35" s="15" t="str">
        <x:v>https://www.ifc.org/en/insights-reports/2012/ifc-performance-standards</x:v>
      </x:c>
      <x:c r="E35" s="2"/>
      <x:c r="F35" s="2"/>
    </x:row>
    <x:row r="36">
      <x:c r="A36" s="2"/>
      <x:c r="B36" s="2"/>
      <x:c r="C36" s="2"/>
      <x:c r="D36" s="2"/>
      <x:c r="E36" s="2"/>
      <x:c r="F36" s="2"/>
    </x:row>
    <x:row r="37">
      <x:c r="A37" s="2"/>
      <x:c r="B37" s="2"/>
      <x:c r="C37" s="2"/>
      <x:c r="D37" s="2"/>
      <x:c r="E37" s="2"/>
      <x:c r="F37" s="2"/>
    </x:row>
    <x:row r="38">
      <x:c r="A38" s="2"/>
      <x:c r="B38" s="2"/>
      <x:c r="C38" s="2"/>
      <x:c r="D38" s="2"/>
      <x:c r="E38" s="2"/>
      <x:c r="F38" s="2"/>
    </x:row>
    <x:row r="39">
      <x:c r="A39" s="2"/>
      <x:c r="B39" s="2"/>
      <x:c r="C39" s="2"/>
      <x:c r="D39" s="2"/>
      <x:c r="E39" s="2"/>
      <x:c r="F39" s="2"/>
    </x:row>
    <x:row r="40">
      <x:c r="A40" s="2"/>
      <x:c r="B40" s="2"/>
      <x:c r="C40" s="2"/>
      <x:c r="D40" s="2"/>
      <x:c r="E40" s="2"/>
      <x:c r="F40" s="2"/>
    </x:row>
  </x:sheetData>
  <x:mergeCells>
    <x:mergeCell ref="B25:C25"/>
    <x:mergeCell ref="B26:C26"/>
    <x:mergeCell ref="B27:C27"/>
    <x:mergeCell ref="B28:C28"/>
    <x:mergeCell ref="B29:C29"/>
    <x:mergeCell ref="B30:C30"/>
    <x:mergeCell ref="B31:C31"/>
    <x:mergeCell ref="B32:C32"/>
    <x:mergeCell ref="B33:C33"/>
    <x:mergeCell ref="B34:C34"/>
    <x:mergeCell ref="B35:C35"/>
  </x:mergeCells>
  <x:dataValidations count="1">
    <x:dataValidation type="whole" operator="between" sqref="C6:C20">
      <x:formula1>1</x:formula1>
      <x:formula2>5</x:formula2>
    </x:dataValidation>
  </x:dataValidations>
  <x:pageMargins left="0.7" right="0.7" top="0.75" bottom="0.75" header="0.3" footer="0.3"/>
</x:worksheet>
</file>